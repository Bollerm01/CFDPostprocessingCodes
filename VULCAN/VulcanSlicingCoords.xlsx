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Boller CFD\AVIATION CFD\output\"/>
    </mc:Choice>
  </mc:AlternateContent>
  <xr:revisionPtr revIDLastSave="0" documentId="13_ncr:1_{68D01D93-6130-4EA4-8FCF-89808CEF9004}" xr6:coauthVersionLast="47" xr6:coauthVersionMax="47" xr10:uidLastSave="{00000000-0000-0000-0000-000000000000}"/>
  <bookViews>
    <workbookView xWindow="28680" yWindow="-568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22" i="1" l="1"/>
  <c r="S23" i="1"/>
  <c r="S24" i="1"/>
  <c r="S19" i="1"/>
  <c r="H19" i="1"/>
  <c r="H22" i="1"/>
  <c r="I19" i="1"/>
  <c r="J19" i="1"/>
  <c r="J22" i="1" s="1"/>
  <c r="K19" i="1"/>
  <c r="L19" i="1"/>
  <c r="M19" i="1"/>
  <c r="N19" i="1"/>
  <c r="O19" i="1"/>
  <c r="O22" i="1" s="1"/>
  <c r="P19" i="1"/>
  <c r="Q19" i="1"/>
  <c r="Q22" i="1" s="1"/>
  <c r="R19" i="1"/>
  <c r="T19" i="1"/>
  <c r="T22" i="1" s="1"/>
  <c r="I23" i="1"/>
  <c r="J23" i="1"/>
  <c r="K23" i="1"/>
  <c r="L23" i="1"/>
  <c r="M23" i="1"/>
  <c r="N23" i="1"/>
  <c r="O23" i="1"/>
  <c r="P23" i="1"/>
  <c r="Q23" i="1"/>
  <c r="R23" i="1"/>
  <c r="T23" i="1"/>
  <c r="H23" i="1"/>
  <c r="T24" i="1"/>
  <c r="R24" i="1"/>
  <c r="Q24" i="1"/>
  <c r="P24" i="1"/>
  <c r="O24" i="1"/>
  <c r="N24" i="1"/>
  <c r="M24" i="1"/>
  <c r="L24" i="1"/>
  <c r="K24" i="1"/>
  <c r="J24" i="1"/>
  <c r="I24" i="1"/>
  <c r="H24" i="1"/>
  <c r="R22" i="1"/>
  <c r="P22" i="1"/>
  <c r="N22" i="1"/>
  <c r="M22" i="1"/>
  <c r="L22" i="1"/>
  <c r="K22" i="1"/>
  <c r="I22" i="1"/>
</calcChain>
</file>

<file path=xl/sharedStrings.xml><?xml version="1.0" encoding="utf-8"?>
<sst xmlns="http://schemas.openxmlformats.org/spreadsheetml/2006/main" count="36" uniqueCount="33">
  <si>
    <t>General SSWT Cavity Params</t>
  </si>
  <si>
    <t>L =</t>
  </si>
  <si>
    <t>m</t>
  </si>
  <si>
    <t>W =</t>
  </si>
  <si>
    <t xml:space="preserve">D = </t>
  </si>
  <si>
    <t>Midplane x/L Coords</t>
  </si>
  <si>
    <t>x/L</t>
  </si>
  <si>
    <t>Xstart</t>
  </si>
  <si>
    <t>Ystart</t>
  </si>
  <si>
    <t>Zstart</t>
  </si>
  <si>
    <t>Xend</t>
  </si>
  <si>
    <t>Yend</t>
  </si>
  <si>
    <t>Zend</t>
  </si>
  <si>
    <t># pts</t>
  </si>
  <si>
    <t>Data To Pull</t>
  </si>
  <si>
    <t>P</t>
  </si>
  <si>
    <t>U</t>
  </si>
  <si>
    <t>TKE</t>
  </si>
  <si>
    <t>Rij</t>
  </si>
  <si>
    <t>mag(nabla(rho))</t>
  </si>
  <si>
    <t>Midplane</t>
  </si>
  <si>
    <t xml:space="preserve">x_start = </t>
  </si>
  <si>
    <t xml:space="preserve">x/l = </t>
  </si>
  <si>
    <t>y_probe=</t>
  </si>
  <si>
    <t xml:space="preserve">x_s = </t>
  </si>
  <si>
    <t xml:space="preserve">y_s = </t>
  </si>
  <si>
    <t xml:space="preserve">z_s = </t>
  </si>
  <si>
    <t xml:space="preserve">x_e = </t>
  </si>
  <si>
    <t xml:space="preserve">y_e = </t>
  </si>
  <si>
    <t xml:space="preserve">z_e = </t>
  </si>
  <si>
    <t>Calculations</t>
  </si>
  <si>
    <t>Cavity Corner</t>
  </si>
  <si>
    <t>y_zp=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</si>
</sst>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164" fontId="0" fillId="0" borderId="0" xfId="0" applyNumberFormat="1"/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24"/>
  <sheetViews>
    <sheetView tabSelected="1" topLeftCell="E1" zoomScale="115" zoomScaleNormal="115" workbookViewId="0">
      <selection activeCell="U13" sqref="U13"/>
    </sheetView>
  </sheetViews>
  <sheetFormatPr defaultRowHeight="14.4" x14ac:dyDescent="0.3"/>
  <cols>
    <col min="3" max="3" width="9.6640625" bestFit="1" customWidth="1"/>
    <col min="8" max="8" width="9" bestFit="1" customWidth="1"/>
    <col min="9" max="9" width="10.44140625" bestFit="1" customWidth="1"/>
    <col min="10" max="10" width="10.77734375" bestFit="1" customWidth="1"/>
    <col min="11" max="12" width="11.88671875" bestFit="1" customWidth="1"/>
    <col min="13" max="13" width="10.77734375" bestFit="1" customWidth="1"/>
    <col min="14" max="17" width="11.88671875" bestFit="1" customWidth="1"/>
    <col min="18" max="18" width="10.44140625" bestFit="1" customWidth="1"/>
    <col min="19" max="19" width="10.77734375" bestFit="1" customWidth="1"/>
    <col min="20" max="20" width="9.33203125" bestFit="1" customWidth="1"/>
    <col min="23" max="23" width="15.109375" bestFit="1" customWidth="1"/>
  </cols>
  <sheetData>
    <row r="1" spans="2:23" ht="15" thickBot="1" x14ac:dyDescent="0.35"/>
    <row r="2" spans="2:23" ht="15" thickBot="1" x14ac:dyDescent="0.35">
      <c r="B2" s="25" t="s">
        <v>0</v>
      </c>
      <c r="C2" s="25"/>
      <c r="D2" s="25"/>
      <c r="G2" s="26" t="s">
        <v>5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8"/>
      <c r="T2" s="29"/>
      <c r="W2" s="3" t="s">
        <v>14</v>
      </c>
    </row>
    <row r="3" spans="2:23" ht="15" thickBot="1" x14ac:dyDescent="0.35">
      <c r="B3" s="1" t="s">
        <v>1</v>
      </c>
      <c r="C3">
        <v>6.8172999999999997E-2</v>
      </c>
      <c r="D3" t="s">
        <v>2</v>
      </c>
      <c r="G3" s="2" t="s">
        <v>6</v>
      </c>
      <c r="H3" s="3">
        <v>-2</v>
      </c>
      <c r="I3" s="4">
        <v>-1</v>
      </c>
      <c r="J3" s="3">
        <v>-0.5</v>
      </c>
      <c r="K3" s="4">
        <v>0.03</v>
      </c>
      <c r="L3" s="3">
        <v>0.17</v>
      </c>
      <c r="M3" s="4">
        <v>0.3</v>
      </c>
      <c r="N3" s="3">
        <v>0.45</v>
      </c>
      <c r="O3" s="4">
        <v>0.59</v>
      </c>
      <c r="P3" s="3">
        <v>0.73</v>
      </c>
      <c r="Q3" s="4">
        <v>0.86</v>
      </c>
      <c r="R3" s="3">
        <v>1</v>
      </c>
      <c r="S3" s="5">
        <v>1.2</v>
      </c>
      <c r="T3" s="24">
        <v>2.33</v>
      </c>
      <c r="W3" s="21" t="s">
        <v>15</v>
      </c>
    </row>
    <row r="4" spans="2:23" x14ac:dyDescent="0.3">
      <c r="B4" s="1" t="s">
        <v>3</v>
      </c>
      <c r="C4">
        <v>2.5399999999999999E-2</v>
      </c>
      <c r="D4" t="s">
        <v>2</v>
      </c>
      <c r="G4" s="6" t="s">
        <v>7</v>
      </c>
      <c r="H4" s="7">
        <v>0.32713099999999995</v>
      </c>
      <c r="I4" s="8">
        <v>0.39530399999999999</v>
      </c>
      <c r="J4" s="7">
        <v>0.42939049999999995</v>
      </c>
      <c r="K4" s="8">
        <v>0.46552218999999995</v>
      </c>
      <c r="L4" s="7">
        <v>0.47506640999999999</v>
      </c>
      <c r="M4" s="8">
        <v>0.4839289</v>
      </c>
      <c r="N4" s="7">
        <v>0.49415484999999998</v>
      </c>
      <c r="O4" s="8">
        <v>0.50369906999999992</v>
      </c>
      <c r="P4" s="7">
        <v>0.51324329000000002</v>
      </c>
      <c r="Q4" s="8">
        <v>0.52210577999999996</v>
      </c>
      <c r="R4" s="7">
        <v>0.53164999999999996</v>
      </c>
      <c r="S4" s="9">
        <v>0.54528460000000001</v>
      </c>
      <c r="T4" s="9">
        <v>0.62218374399999998</v>
      </c>
      <c r="W4" s="21" t="s">
        <v>16</v>
      </c>
    </row>
    <row r="5" spans="2:23" x14ac:dyDescent="0.3">
      <c r="B5" s="1" t="s">
        <v>4</v>
      </c>
      <c r="C5">
        <v>1.8369E-2</v>
      </c>
      <c r="D5" t="s">
        <v>2</v>
      </c>
      <c r="G5" s="10" t="s">
        <v>8</v>
      </c>
      <c r="H5" s="11">
        <v>0</v>
      </c>
      <c r="I5" s="12">
        <v>-3.4699999999999998E-4</v>
      </c>
      <c r="J5" s="11">
        <v>-1.836E-3</v>
      </c>
      <c r="K5" s="12">
        <v>-2.1798999999999999E-2</v>
      </c>
      <c r="L5" s="11">
        <v>-2.2216E-2</v>
      </c>
      <c r="M5" s="12">
        <v>-2.2603000000000002E-2</v>
      </c>
      <c r="N5" s="11">
        <v>-2.3050000000000001E-2</v>
      </c>
      <c r="O5" s="12">
        <v>-2.3466000000000001E-2</v>
      </c>
      <c r="P5" s="11">
        <v>-2.2003999999999999E-2</v>
      </c>
      <c r="Q5" s="12">
        <v>-1.8778E-2</v>
      </c>
      <c r="R5" s="11">
        <v>-1.5304E-2</v>
      </c>
      <c r="S5" s="13">
        <v>-1.0340999999999999E-2</v>
      </c>
      <c r="T5" s="13">
        <v>-1.0253E-2</v>
      </c>
      <c r="W5" s="21" t="s">
        <v>17</v>
      </c>
    </row>
    <row r="6" spans="2:23" x14ac:dyDescent="0.3">
      <c r="G6" s="10" t="s">
        <v>9</v>
      </c>
      <c r="H6" s="11">
        <v>1.2699999999999999E-2</v>
      </c>
      <c r="I6" s="12">
        <v>1.2699999999999999E-2</v>
      </c>
      <c r="J6" s="11">
        <v>1.2699999999999999E-2</v>
      </c>
      <c r="K6" s="12">
        <v>1.2699999999999999E-2</v>
      </c>
      <c r="L6" s="11">
        <v>1.2699999999999999E-2</v>
      </c>
      <c r="M6" s="12">
        <v>1.2699999999999999E-2</v>
      </c>
      <c r="N6" s="11">
        <v>1.2699999999999999E-2</v>
      </c>
      <c r="O6" s="12">
        <v>1.2699999999999999E-2</v>
      </c>
      <c r="P6" s="11">
        <v>1.2699999999999999E-2</v>
      </c>
      <c r="Q6" s="12">
        <v>1.2699999999999999E-2</v>
      </c>
      <c r="R6" s="11">
        <v>1.2699999999999999E-2</v>
      </c>
      <c r="S6" s="13">
        <v>1.2699999999999999E-2</v>
      </c>
      <c r="T6" s="13">
        <v>1.2699999999999999E-2</v>
      </c>
      <c r="W6" s="21" t="s">
        <v>18</v>
      </c>
    </row>
    <row r="7" spans="2:23" ht="15" thickBot="1" x14ac:dyDescent="0.35">
      <c r="B7" s="1" t="s">
        <v>31</v>
      </c>
      <c r="G7" s="14" t="s">
        <v>10</v>
      </c>
      <c r="H7" s="15">
        <v>0.32713099999999995</v>
      </c>
      <c r="I7" s="16">
        <v>0.39530399999999999</v>
      </c>
      <c r="J7" s="15">
        <v>0.42939049999999995</v>
      </c>
      <c r="K7" s="16">
        <v>0.46552218999999995</v>
      </c>
      <c r="L7" s="15">
        <v>0.47506640999999999</v>
      </c>
      <c r="M7" s="16">
        <v>0.4839289</v>
      </c>
      <c r="N7" s="15">
        <v>0.49415484999999998</v>
      </c>
      <c r="O7" s="16">
        <v>0.50369906999999992</v>
      </c>
      <c r="P7" s="15">
        <v>0.51324329000000002</v>
      </c>
      <c r="Q7" s="16">
        <v>0.52210577999999996</v>
      </c>
      <c r="R7" s="15">
        <v>0.53164999999999996</v>
      </c>
      <c r="S7" s="17">
        <v>0.54528460000000001</v>
      </c>
      <c r="T7" s="17">
        <v>0.62218374399999998</v>
      </c>
      <c r="W7" s="22" t="s">
        <v>19</v>
      </c>
    </row>
    <row r="8" spans="2:23" x14ac:dyDescent="0.3">
      <c r="B8" s="1" t="s">
        <v>32</v>
      </c>
      <c r="C8">
        <v>-3.3240000000000001E-3</v>
      </c>
      <c r="D8" t="s">
        <v>2</v>
      </c>
      <c r="G8" s="14" t="s">
        <v>11</v>
      </c>
      <c r="H8" s="15">
        <v>3.7185999999999997E-2</v>
      </c>
      <c r="I8" s="16">
        <v>3.6838999999999997E-2</v>
      </c>
      <c r="J8" s="15">
        <v>3.5349999999999999E-2</v>
      </c>
      <c r="K8" s="16">
        <v>1.5386999999999998E-2</v>
      </c>
      <c r="L8" s="15">
        <v>1.4969999999999997E-2</v>
      </c>
      <c r="M8" s="16">
        <v>1.4582999999999995E-2</v>
      </c>
      <c r="N8" s="15">
        <v>1.4135999999999996E-2</v>
      </c>
      <c r="O8" s="16">
        <v>1.3719999999999996E-2</v>
      </c>
      <c r="P8" s="15">
        <v>1.5181999999999998E-2</v>
      </c>
      <c r="Q8" s="16">
        <v>1.8407999999999997E-2</v>
      </c>
      <c r="R8" s="15">
        <v>2.1881999999999999E-2</v>
      </c>
      <c r="S8" s="17">
        <v>2.6844999999999997E-2</v>
      </c>
      <c r="T8" s="17">
        <v>2.6932999999999999E-2</v>
      </c>
    </row>
    <row r="9" spans="2:23" x14ac:dyDescent="0.3">
      <c r="G9" s="14" t="s">
        <v>12</v>
      </c>
      <c r="H9" s="15">
        <v>1.2699999999999999E-2</v>
      </c>
      <c r="I9" s="16">
        <v>1.2699999999999999E-2</v>
      </c>
      <c r="J9" s="15">
        <v>1.2699999999999999E-2</v>
      </c>
      <c r="K9" s="16">
        <v>1.2699999999999999E-2</v>
      </c>
      <c r="L9" s="15">
        <v>1.2699999999999999E-2</v>
      </c>
      <c r="M9" s="16">
        <v>1.2699999999999999E-2</v>
      </c>
      <c r="N9" s="15">
        <v>1.2699999999999999E-2</v>
      </c>
      <c r="O9" s="16">
        <v>1.2699999999999999E-2</v>
      </c>
      <c r="P9" s="15">
        <v>1.2699999999999999E-2</v>
      </c>
      <c r="Q9" s="16">
        <v>1.2699999999999999E-2</v>
      </c>
      <c r="R9" s="15">
        <v>1.2699999999999999E-2</v>
      </c>
      <c r="S9" s="17">
        <v>1.2699999999999999E-2</v>
      </c>
      <c r="T9" s="17">
        <v>1.2699999999999999E-2</v>
      </c>
    </row>
    <row r="10" spans="2:23" ht="15" thickBot="1" x14ac:dyDescent="0.35">
      <c r="G10" s="18" t="s">
        <v>13</v>
      </c>
      <c r="H10" s="19">
        <v>500</v>
      </c>
      <c r="I10" s="20">
        <v>500</v>
      </c>
      <c r="J10" s="19">
        <v>500</v>
      </c>
      <c r="K10" s="20">
        <v>500</v>
      </c>
      <c r="L10" s="19">
        <v>500</v>
      </c>
      <c r="M10" s="19">
        <v>500</v>
      </c>
      <c r="N10" s="19">
        <v>500</v>
      </c>
      <c r="O10" s="19">
        <v>500</v>
      </c>
      <c r="P10" s="19">
        <v>500</v>
      </c>
      <c r="Q10" s="19">
        <v>500</v>
      </c>
      <c r="R10" s="19">
        <v>500</v>
      </c>
      <c r="S10" s="19">
        <v>500</v>
      </c>
      <c r="T10" s="19">
        <v>500</v>
      </c>
    </row>
    <row r="17" spans="2:20" x14ac:dyDescent="0.3">
      <c r="G17" s="25" t="s">
        <v>20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</row>
    <row r="18" spans="2:20" x14ac:dyDescent="0.3">
      <c r="B18" s="25" t="s">
        <v>30</v>
      </c>
      <c r="C18" s="25"/>
      <c r="E18" t="s">
        <v>21</v>
      </c>
      <c r="F18">
        <v>0.46347699999999997</v>
      </c>
      <c r="G18" s="1" t="s">
        <v>22</v>
      </c>
      <c r="H18">
        <v>-2</v>
      </c>
      <c r="I18">
        <v>-1</v>
      </c>
      <c r="J18">
        <v>-0.5</v>
      </c>
      <c r="K18">
        <v>0.03</v>
      </c>
      <c r="L18">
        <v>0.17</v>
      </c>
      <c r="M18">
        <v>0.3</v>
      </c>
      <c r="N18">
        <v>0.45</v>
      </c>
      <c r="O18">
        <v>0.59</v>
      </c>
      <c r="P18">
        <v>0.73</v>
      </c>
      <c r="Q18">
        <v>0.86</v>
      </c>
      <c r="R18">
        <v>1</v>
      </c>
      <c r="S18">
        <v>1.2</v>
      </c>
      <c r="T18">
        <v>2.3279999999999998</v>
      </c>
    </row>
    <row r="19" spans="2:20" x14ac:dyDescent="0.3">
      <c r="E19" t="s">
        <v>23</v>
      </c>
      <c r="F19">
        <v>3.7185999999999997E-2</v>
      </c>
      <c r="G19" s="1" t="s">
        <v>24</v>
      </c>
      <c r="H19">
        <f>$F$18+(H18*$C$3)</f>
        <v>0.32713099999999995</v>
      </c>
      <c r="I19">
        <f t="shared" ref="I19:T19" si="0">$F$18+(I18*$C$3)</f>
        <v>0.39530399999999999</v>
      </c>
      <c r="J19">
        <f t="shared" si="0"/>
        <v>0.42939049999999995</v>
      </c>
      <c r="K19">
        <f t="shared" si="0"/>
        <v>0.46552218999999995</v>
      </c>
      <c r="L19">
        <f t="shared" si="0"/>
        <v>0.47506640999999999</v>
      </c>
      <c r="M19">
        <f t="shared" si="0"/>
        <v>0.4839289</v>
      </c>
      <c r="N19">
        <f t="shared" si="0"/>
        <v>0.49415484999999998</v>
      </c>
      <c r="O19">
        <f t="shared" si="0"/>
        <v>0.50369906999999992</v>
      </c>
      <c r="P19">
        <f t="shared" si="0"/>
        <v>0.51324329000000002</v>
      </c>
      <c r="Q19">
        <f t="shared" si="0"/>
        <v>0.52210577999999996</v>
      </c>
      <c r="R19" s="23">
        <f t="shared" si="0"/>
        <v>0.53164999999999996</v>
      </c>
      <c r="S19" s="23">
        <f t="shared" si="0"/>
        <v>0.54528460000000001</v>
      </c>
      <c r="T19">
        <f t="shared" si="0"/>
        <v>0.62218374399999998</v>
      </c>
    </row>
    <row r="20" spans="2:20" x14ac:dyDescent="0.3">
      <c r="G20" s="1" t="s">
        <v>25</v>
      </c>
      <c r="H20" s="23">
        <v>0</v>
      </c>
      <c r="I20" s="23">
        <v>-3.4699999999999998E-4</v>
      </c>
      <c r="J20" s="23">
        <v>-1.836E-3</v>
      </c>
      <c r="K20" s="23">
        <v>-2.1798999999999999E-2</v>
      </c>
      <c r="L20" s="23">
        <v>-2.2216E-2</v>
      </c>
      <c r="M20" s="23">
        <v>-2.2603000000000002E-2</v>
      </c>
      <c r="N20" s="23">
        <v>-2.3050000000000001E-2</v>
      </c>
      <c r="O20" s="23">
        <v>-2.3466000000000001E-2</v>
      </c>
      <c r="P20" s="23">
        <v>-2.2003999999999999E-2</v>
      </c>
      <c r="Q20" s="23">
        <v>-1.8778E-2</v>
      </c>
      <c r="R20" s="23">
        <v>-1.5304E-2</v>
      </c>
      <c r="S20" s="23">
        <v>-1.0340999999999999E-2</v>
      </c>
      <c r="T20" s="23">
        <v>-1.0253E-2</v>
      </c>
    </row>
    <row r="21" spans="2:20" x14ac:dyDescent="0.3">
      <c r="G21" s="1" t="s">
        <v>26</v>
      </c>
      <c r="H21">
        <v>1.2699999999999999E-2</v>
      </c>
      <c r="I21">
        <v>1.2699999999999999E-2</v>
      </c>
      <c r="J21">
        <v>1.2699999999999999E-2</v>
      </c>
      <c r="K21">
        <v>1.2699999999999999E-2</v>
      </c>
      <c r="L21">
        <v>1.2699999999999999E-2</v>
      </c>
      <c r="M21">
        <v>1.2699999999999999E-2</v>
      </c>
      <c r="N21">
        <v>1.2699999999999999E-2</v>
      </c>
      <c r="O21">
        <v>1.2699999999999999E-2</v>
      </c>
      <c r="P21">
        <v>1.2699999999999999E-2</v>
      </c>
      <c r="Q21">
        <v>1.2699999999999999E-2</v>
      </c>
      <c r="R21">
        <v>1.2699999999999999E-2</v>
      </c>
      <c r="S21">
        <v>1.2699999999999999E-2</v>
      </c>
      <c r="T21">
        <v>1.2699999999999999E-2</v>
      </c>
    </row>
    <row r="22" spans="2:20" x14ac:dyDescent="0.3">
      <c r="G22" s="1" t="s">
        <v>27</v>
      </c>
      <c r="H22">
        <f>H19</f>
        <v>0.32713099999999995</v>
      </c>
      <c r="I22">
        <f t="shared" ref="I22:T22" si="1">I19</f>
        <v>0.39530399999999999</v>
      </c>
      <c r="J22">
        <f t="shared" si="1"/>
        <v>0.42939049999999995</v>
      </c>
      <c r="K22">
        <f t="shared" si="1"/>
        <v>0.46552218999999995</v>
      </c>
      <c r="L22">
        <f t="shared" si="1"/>
        <v>0.47506640999999999</v>
      </c>
      <c r="M22">
        <f t="shared" si="1"/>
        <v>0.4839289</v>
      </c>
      <c r="N22">
        <f t="shared" si="1"/>
        <v>0.49415484999999998</v>
      </c>
      <c r="O22">
        <f t="shared" si="1"/>
        <v>0.50369906999999992</v>
      </c>
      <c r="P22">
        <f t="shared" si="1"/>
        <v>0.51324329000000002</v>
      </c>
      <c r="Q22">
        <f t="shared" si="1"/>
        <v>0.52210577999999996</v>
      </c>
      <c r="R22">
        <f t="shared" si="1"/>
        <v>0.53164999999999996</v>
      </c>
      <c r="S22">
        <f t="shared" ref="S22" si="2">S19</f>
        <v>0.54528460000000001</v>
      </c>
      <c r="T22">
        <f t="shared" si="1"/>
        <v>0.62218374399999998</v>
      </c>
    </row>
    <row r="23" spans="2:20" x14ac:dyDescent="0.3">
      <c r="G23" s="1" t="s">
        <v>28</v>
      </c>
      <c r="H23">
        <f>H20+$F$19</f>
        <v>3.7185999999999997E-2</v>
      </c>
      <c r="I23">
        <f t="shared" ref="I23:T23" si="3">I20+$F$19</f>
        <v>3.6838999999999997E-2</v>
      </c>
      <c r="J23">
        <f t="shared" si="3"/>
        <v>3.5349999999999999E-2</v>
      </c>
      <c r="K23">
        <f t="shared" si="3"/>
        <v>1.5386999999999998E-2</v>
      </c>
      <c r="L23">
        <f t="shared" si="3"/>
        <v>1.4969999999999997E-2</v>
      </c>
      <c r="M23">
        <f t="shared" si="3"/>
        <v>1.4582999999999995E-2</v>
      </c>
      <c r="N23">
        <f t="shared" si="3"/>
        <v>1.4135999999999996E-2</v>
      </c>
      <c r="O23">
        <f t="shared" si="3"/>
        <v>1.3719999999999996E-2</v>
      </c>
      <c r="P23">
        <f t="shared" si="3"/>
        <v>1.5181999999999998E-2</v>
      </c>
      <c r="Q23">
        <f t="shared" si="3"/>
        <v>1.8407999999999997E-2</v>
      </c>
      <c r="R23">
        <f t="shared" si="3"/>
        <v>2.1881999999999999E-2</v>
      </c>
      <c r="S23">
        <f t="shared" ref="S23" si="4">S20+$F$19</f>
        <v>2.6844999999999997E-2</v>
      </c>
      <c r="T23">
        <f t="shared" si="3"/>
        <v>2.6932999999999999E-2</v>
      </c>
    </row>
    <row r="24" spans="2:20" x14ac:dyDescent="0.3">
      <c r="G24" s="1" t="s">
        <v>29</v>
      </c>
      <c r="H24">
        <f>H21</f>
        <v>1.2699999999999999E-2</v>
      </c>
      <c r="I24">
        <f t="shared" ref="I24:T24" si="5">I21</f>
        <v>1.2699999999999999E-2</v>
      </c>
      <c r="J24">
        <f t="shared" si="5"/>
        <v>1.2699999999999999E-2</v>
      </c>
      <c r="K24">
        <f t="shared" si="5"/>
        <v>1.2699999999999999E-2</v>
      </c>
      <c r="L24">
        <f t="shared" si="5"/>
        <v>1.2699999999999999E-2</v>
      </c>
      <c r="M24">
        <f t="shared" si="5"/>
        <v>1.2699999999999999E-2</v>
      </c>
      <c r="N24">
        <f t="shared" si="5"/>
        <v>1.2699999999999999E-2</v>
      </c>
      <c r="O24">
        <f t="shared" si="5"/>
        <v>1.2699999999999999E-2</v>
      </c>
      <c r="P24">
        <f t="shared" si="5"/>
        <v>1.2699999999999999E-2</v>
      </c>
      <c r="Q24">
        <f t="shared" si="5"/>
        <v>1.2699999999999999E-2</v>
      </c>
      <c r="R24">
        <f t="shared" si="5"/>
        <v>1.2699999999999999E-2</v>
      </c>
      <c r="S24">
        <f t="shared" ref="S24" si="6">S21</f>
        <v>1.2699999999999999E-2</v>
      </c>
      <c r="T24">
        <f t="shared" si="5"/>
        <v>1.2699999999999999E-2</v>
      </c>
    </row>
  </sheetData>
  <mergeCells count="4">
    <mergeCell ref="B2:D2"/>
    <mergeCell ref="G2:T2"/>
    <mergeCell ref="G17:T17"/>
    <mergeCell ref="B18:C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Boller</dc:creator>
  <cp:lastModifiedBy>Matt Boller</cp:lastModifiedBy>
  <dcterms:created xsi:type="dcterms:W3CDTF">2015-06-05T18:17:20Z</dcterms:created>
  <dcterms:modified xsi:type="dcterms:W3CDTF">2026-01-30T13:50:17Z</dcterms:modified>
</cp:coreProperties>
</file>