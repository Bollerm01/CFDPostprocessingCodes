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Boller CFD\AVIATION CFD\output\"/>
    </mc:Choice>
  </mc:AlternateContent>
  <xr:revisionPtr revIDLastSave="0" documentId="13_ncr:1_{73D9C7CE-F6F0-4341-A6FE-8160473555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8" i="1" l="1"/>
  <c r="H41" i="1"/>
  <c r="H42" i="1"/>
  <c r="I60" i="1"/>
  <c r="J60" i="1"/>
  <c r="K60" i="1"/>
  <c r="L60" i="1"/>
  <c r="M60" i="1"/>
  <c r="N60" i="1"/>
  <c r="N63" i="1" s="1"/>
  <c r="O60" i="1"/>
  <c r="O63" i="1" s="1"/>
  <c r="P60" i="1"/>
  <c r="P63" i="1" s="1"/>
  <c r="Q60" i="1"/>
  <c r="Q63" i="1" s="1"/>
  <c r="R60" i="1"/>
  <c r="R63" i="1" s="1"/>
  <c r="S60" i="1"/>
  <c r="S63" i="1" s="1"/>
  <c r="H60" i="1"/>
  <c r="S62" i="1"/>
  <c r="R62" i="1"/>
  <c r="Q62" i="1"/>
  <c r="P62" i="1"/>
  <c r="O62" i="1"/>
  <c r="N62" i="1"/>
  <c r="M62" i="1"/>
  <c r="L62" i="1"/>
  <c r="K62" i="1"/>
  <c r="J62" i="1"/>
  <c r="I62" i="1"/>
  <c r="H62" i="1"/>
  <c r="S61" i="1"/>
  <c r="R61" i="1"/>
  <c r="Q61" i="1"/>
  <c r="P61" i="1"/>
  <c r="O61" i="1"/>
  <c r="N61" i="1"/>
  <c r="M61" i="1"/>
  <c r="L61" i="1"/>
  <c r="K61" i="1"/>
  <c r="J61" i="1"/>
  <c r="I61" i="1"/>
  <c r="H61" i="1"/>
  <c r="M63" i="1"/>
  <c r="L63" i="1"/>
  <c r="K63" i="1"/>
  <c r="J63" i="1"/>
  <c r="I63" i="1"/>
  <c r="H63" i="1"/>
  <c r="S58" i="1"/>
  <c r="R58" i="1"/>
  <c r="Q58" i="1"/>
  <c r="P58" i="1"/>
  <c r="O58" i="1"/>
  <c r="N58" i="1"/>
  <c r="M58" i="1"/>
  <c r="L58" i="1"/>
  <c r="K58" i="1"/>
  <c r="J58" i="1"/>
  <c r="I58" i="1"/>
  <c r="H58" i="1"/>
  <c r="H50" i="1"/>
  <c r="I50" i="1"/>
  <c r="J50" i="1"/>
  <c r="J53" i="1" s="1"/>
  <c r="K50" i="1"/>
  <c r="K53" i="1" s="1"/>
  <c r="L50" i="1"/>
  <c r="L53" i="1" s="1"/>
  <c r="M50" i="1"/>
  <c r="M53" i="1" s="1"/>
  <c r="N50" i="1"/>
  <c r="N53" i="1" s="1"/>
  <c r="O50" i="1"/>
  <c r="O53" i="1" s="1"/>
  <c r="P50" i="1"/>
  <c r="Q50" i="1"/>
  <c r="R50" i="1"/>
  <c r="S50" i="1"/>
  <c r="H48" i="1"/>
  <c r="S53" i="1"/>
  <c r="R53" i="1"/>
  <c r="Q53" i="1"/>
  <c r="P53" i="1"/>
  <c r="I53" i="1"/>
  <c r="H53" i="1"/>
  <c r="S52" i="1"/>
  <c r="R52" i="1"/>
  <c r="Q52" i="1"/>
  <c r="P52" i="1"/>
  <c r="O52" i="1"/>
  <c r="N52" i="1"/>
  <c r="M52" i="1"/>
  <c r="L52" i="1"/>
  <c r="K52" i="1"/>
  <c r="J52" i="1"/>
  <c r="I52" i="1"/>
  <c r="H52" i="1"/>
  <c r="S51" i="1"/>
  <c r="R51" i="1"/>
  <c r="Q51" i="1"/>
  <c r="P51" i="1"/>
  <c r="O51" i="1"/>
  <c r="N51" i="1"/>
  <c r="M51" i="1"/>
  <c r="L51" i="1"/>
  <c r="K51" i="1"/>
  <c r="J51" i="1"/>
  <c r="I51" i="1"/>
  <c r="H51" i="1"/>
  <c r="S48" i="1"/>
  <c r="R48" i="1"/>
  <c r="Q48" i="1"/>
  <c r="P48" i="1"/>
  <c r="O48" i="1"/>
  <c r="N48" i="1"/>
  <c r="M48" i="1"/>
  <c r="L48" i="1"/>
  <c r="K48" i="1"/>
  <c r="J48" i="1"/>
  <c r="I48" i="1"/>
  <c r="R42" i="1"/>
  <c r="Q38" i="1"/>
  <c r="I42" i="1"/>
  <c r="J42" i="1"/>
  <c r="K42" i="1"/>
  <c r="L42" i="1"/>
  <c r="M42" i="1"/>
  <c r="N42" i="1"/>
  <c r="O42" i="1"/>
  <c r="P42" i="1"/>
  <c r="Q42" i="1"/>
  <c r="S42" i="1"/>
  <c r="I43" i="1"/>
  <c r="J43" i="1"/>
  <c r="K43" i="1"/>
  <c r="L43" i="1"/>
  <c r="M43" i="1"/>
  <c r="N43" i="1"/>
  <c r="O43" i="1"/>
  <c r="P43" i="1"/>
  <c r="Q43" i="1"/>
  <c r="R43" i="1"/>
  <c r="S43" i="1"/>
  <c r="H43" i="1"/>
  <c r="I41" i="1"/>
  <c r="J41" i="1"/>
  <c r="K41" i="1"/>
  <c r="L41" i="1"/>
  <c r="M41" i="1"/>
  <c r="N41" i="1"/>
  <c r="O41" i="1"/>
  <c r="P41" i="1"/>
  <c r="Q41" i="1"/>
  <c r="R41" i="1"/>
  <c r="S41" i="1"/>
  <c r="J38" i="1"/>
  <c r="I38" i="1"/>
  <c r="K38" i="1"/>
  <c r="L38" i="1"/>
  <c r="M38" i="1"/>
  <c r="N38" i="1"/>
  <c r="O38" i="1"/>
  <c r="P38" i="1"/>
  <c r="R38" i="1"/>
  <c r="S38" i="1"/>
</calcChain>
</file>

<file path=xl/sharedStrings.xml><?xml version="1.0" encoding="utf-8"?>
<sst xmlns="http://schemas.openxmlformats.org/spreadsheetml/2006/main" count="69" uniqueCount="36">
  <si>
    <t xml:space="preserve">D = </t>
  </si>
  <si>
    <t>W =</t>
  </si>
  <si>
    <t>L =</t>
  </si>
  <si>
    <t>General SSWT Cavity Params</t>
  </si>
  <si>
    <t>m</t>
  </si>
  <si>
    <t>Midplane x/L Coords</t>
  </si>
  <si>
    <t>x/L</t>
  </si>
  <si>
    <t># pts</t>
  </si>
  <si>
    <t>Data To Pull</t>
  </si>
  <si>
    <t>P</t>
  </si>
  <si>
    <t>U</t>
  </si>
  <si>
    <t>TKE</t>
  </si>
  <si>
    <t>Rij</t>
  </si>
  <si>
    <t>mag(nabla(rho))</t>
  </si>
  <si>
    <t>Xstart</t>
  </si>
  <si>
    <t>Ystart</t>
  </si>
  <si>
    <t>Zstart</t>
  </si>
  <si>
    <t>Xend</t>
  </si>
  <si>
    <t>Yend</t>
  </si>
  <si>
    <t>Zend</t>
  </si>
  <si>
    <t xml:space="preserve">x_start = </t>
  </si>
  <si>
    <t xml:space="preserve">x/l = </t>
  </si>
  <si>
    <t xml:space="preserve">x_s = </t>
  </si>
  <si>
    <t>y_probe=</t>
  </si>
  <si>
    <t xml:space="preserve">z_s = </t>
  </si>
  <si>
    <t xml:space="preserve">y_s = </t>
  </si>
  <si>
    <t xml:space="preserve">x_e = </t>
  </si>
  <si>
    <t xml:space="preserve">y_e = </t>
  </si>
  <si>
    <t xml:space="preserve">z_e = </t>
  </si>
  <si>
    <t>Midplane</t>
  </si>
  <si>
    <t>z/w = 0.25</t>
  </si>
  <si>
    <t>z/W = 0.75 -  x/L Coords</t>
  </si>
  <si>
    <t>z/W = 0.25 -  x/L Coords</t>
  </si>
  <si>
    <t>z/w = 0.75</t>
  </si>
  <si>
    <t>Cavity Corner</t>
  </si>
  <si>
    <t>y_zp=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</si>
</sst>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63"/>
  <sheetViews>
    <sheetView tabSelected="1" zoomScale="115" zoomScaleNormal="115" workbookViewId="0">
      <selection activeCell="W24" sqref="W24"/>
    </sheetView>
  </sheetViews>
  <sheetFormatPr defaultRowHeight="15" x14ac:dyDescent="0.25"/>
  <cols>
    <col min="2" max="2" width="4.28515625" bestFit="1" customWidth="1"/>
    <col min="3" max="3" width="12.85546875" customWidth="1"/>
    <col min="4" max="4" width="9.7109375" customWidth="1"/>
    <col min="21" max="21" width="15.5703125" bestFit="1" customWidth="1"/>
  </cols>
  <sheetData>
    <row r="1" spans="2:21" ht="15.75" thickBot="1" x14ac:dyDescent="0.3"/>
    <row r="2" spans="2:21" ht="15.75" thickBot="1" x14ac:dyDescent="0.3">
      <c r="B2" s="26" t="s">
        <v>3</v>
      </c>
      <c r="C2" s="26"/>
      <c r="D2" s="26"/>
      <c r="G2" s="27" t="s">
        <v>32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9"/>
      <c r="U2" s="16" t="s">
        <v>8</v>
      </c>
    </row>
    <row r="3" spans="2:21" ht="15.75" thickBot="1" x14ac:dyDescent="0.3">
      <c r="B3" s="15" t="s">
        <v>2</v>
      </c>
      <c r="C3">
        <v>6.8418000000000007E-2</v>
      </c>
      <c r="D3" t="s">
        <v>4</v>
      </c>
      <c r="G3" s="1" t="s">
        <v>6</v>
      </c>
      <c r="H3" s="11">
        <v>-2</v>
      </c>
      <c r="I3" s="5">
        <v>-1</v>
      </c>
      <c r="J3" s="11">
        <v>-0.5</v>
      </c>
      <c r="K3" s="25">
        <v>0.03</v>
      </c>
      <c r="L3" s="24">
        <v>0.17</v>
      </c>
      <c r="M3" s="25">
        <v>0.3</v>
      </c>
      <c r="N3" s="24">
        <v>0.45</v>
      </c>
      <c r="O3" s="25">
        <v>0.59</v>
      </c>
      <c r="P3" s="24">
        <v>0.73</v>
      </c>
      <c r="Q3" s="25">
        <v>0.86</v>
      </c>
      <c r="R3" s="24">
        <v>1</v>
      </c>
      <c r="S3" s="23">
        <v>2.33</v>
      </c>
      <c r="U3" s="17" t="s">
        <v>9</v>
      </c>
    </row>
    <row r="4" spans="2:21" x14ac:dyDescent="0.25">
      <c r="B4" s="15" t="s">
        <v>1</v>
      </c>
      <c r="C4">
        <v>0.15240000000000001</v>
      </c>
      <c r="D4" t="s">
        <v>4</v>
      </c>
      <c r="G4" s="2" t="s">
        <v>14</v>
      </c>
      <c r="H4" s="12">
        <v>2.0116909999999999</v>
      </c>
      <c r="I4" s="12">
        <v>2.0801090000000002</v>
      </c>
      <c r="J4" s="12">
        <v>2.1143179999999999</v>
      </c>
      <c r="K4" s="6">
        <v>2.1505795400000003</v>
      </c>
      <c r="L4" s="12">
        <v>2.1601580600000001</v>
      </c>
      <c r="M4" s="6">
        <v>2.1690524</v>
      </c>
      <c r="N4" s="12">
        <v>2.1793151000000002</v>
      </c>
      <c r="O4" s="6">
        <v>2.18889362</v>
      </c>
      <c r="P4" s="12">
        <v>2.1984721400000002</v>
      </c>
      <c r="Q4" s="6">
        <v>2.2073664800000001</v>
      </c>
      <c r="R4" s="12">
        <v>2.2169449999999999</v>
      </c>
      <c r="S4" s="9">
        <v>2.3078041040000001</v>
      </c>
      <c r="U4" s="17" t="s">
        <v>10</v>
      </c>
    </row>
    <row r="5" spans="2:21" x14ac:dyDescent="0.25">
      <c r="B5" s="15" t="s">
        <v>0</v>
      </c>
      <c r="C5">
        <v>1.8592999999999998E-2</v>
      </c>
      <c r="D5" t="s">
        <v>4</v>
      </c>
      <c r="G5" s="3" t="s">
        <v>15</v>
      </c>
      <c r="H5" s="13">
        <v>1.8842000000000001E-2</v>
      </c>
      <c r="I5" s="13">
        <v>1.8592999999999998E-2</v>
      </c>
      <c r="J5" s="13">
        <v>1.8592999999999998E-2</v>
      </c>
      <c r="K5" s="7">
        <v>0</v>
      </c>
      <c r="L5" s="13">
        <v>0</v>
      </c>
      <c r="M5" s="7">
        <v>0</v>
      </c>
      <c r="N5" s="13">
        <v>0</v>
      </c>
      <c r="O5" s="7">
        <v>0</v>
      </c>
      <c r="P5" s="13">
        <v>1.645E-3</v>
      </c>
      <c r="Q5" s="7">
        <v>5.3290000000000004E-3</v>
      </c>
      <c r="R5" s="13">
        <v>9.2960000000000004E-3</v>
      </c>
      <c r="S5" s="10">
        <v>1.8592999999999998E-2</v>
      </c>
      <c r="U5" s="17" t="s">
        <v>11</v>
      </c>
    </row>
    <row r="6" spans="2:21" x14ac:dyDescent="0.25">
      <c r="G6" s="3" t="s">
        <v>16</v>
      </c>
      <c r="H6" s="13">
        <v>3.8100000000000002E-2</v>
      </c>
      <c r="I6" s="13">
        <v>3.8100000000000002E-2</v>
      </c>
      <c r="J6" s="13">
        <v>3.8100000000000002E-2</v>
      </c>
      <c r="K6" s="7">
        <v>3.8100000000000002E-2</v>
      </c>
      <c r="L6" s="13">
        <v>3.8100000000000002E-2</v>
      </c>
      <c r="M6" s="7">
        <v>3.8100000000000002E-2</v>
      </c>
      <c r="N6" s="13">
        <v>3.8100000000000002E-2</v>
      </c>
      <c r="O6" s="7">
        <v>3.8100000000000002E-2</v>
      </c>
      <c r="P6" s="13">
        <v>3.8100000000000002E-2</v>
      </c>
      <c r="Q6" s="7">
        <v>3.8100000000000002E-2</v>
      </c>
      <c r="R6" s="13">
        <v>3.8100000000000002E-2</v>
      </c>
      <c r="S6" s="10">
        <v>3.8100000000000002E-2</v>
      </c>
      <c r="U6" s="17" t="s">
        <v>12</v>
      </c>
    </row>
    <row r="7" spans="2:21" ht="15.75" thickBot="1" x14ac:dyDescent="0.3">
      <c r="B7" s="15" t="s">
        <v>34</v>
      </c>
      <c r="G7" s="19" t="s">
        <v>17</v>
      </c>
      <c r="H7" s="20">
        <v>2.0116909999999999</v>
      </c>
      <c r="I7" s="20">
        <v>2.0801090000000002</v>
      </c>
      <c r="J7" s="20">
        <v>2.1143179999999999</v>
      </c>
      <c r="K7" s="21">
        <v>2.1505795400000003</v>
      </c>
      <c r="L7" s="20">
        <v>2.1601580600000001</v>
      </c>
      <c r="M7" s="21">
        <v>2.1690524</v>
      </c>
      <c r="N7" s="20">
        <v>2.1793151000000002</v>
      </c>
      <c r="O7" s="21">
        <v>2.18889362</v>
      </c>
      <c r="P7" s="20">
        <v>2.1984721400000002</v>
      </c>
      <c r="Q7" s="21">
        <v>2.2073664800000001</v>
      </c>
      <c r="R7" s="20">
        <v>2.2169449999999999</v>
      </c>
      <c r="S7" s="22">
        <v>2.3078041040000001</v>
      </c>
      <c r="U7" s="18" t="s">
        <v>13</v>
      </c>
    </row>
    <row r="8" spans="2:21" x14ac:dyDescent="0.25">
      <c r="B8" s="15" t="s">
        <v>35</v>
      </c>
      <c r="C8">
        <v>1.8592999999999998E-2</v>
      </c>
      <c r="D8" t="s">
        <v>4</v>
      </c>
      <c r="G8" s="19" t="s">
        <v>18</v>
      </c>
      <c r="H8" s="20">
        <v>5.6027999999999994E-2</v>
      </c>
      <c r="I8" s="20">
        <v>5.5778999999999995E-2</v>
      </c>
      <c r="J8" s="20">
        <v>5.5778999999999995E-2</v>
      </c>
      <c r="K8" s="21">
        <v>3.7185999999999997E-2</v>
      </c>
      <c r="L8" s="20">
        <v>3.7185999999999997E-2</v>
      </c>
      <c r="M8" s="21">
        <v>3.7185999999999997E-2</v>
      </c>
      <c r="N8" s="20">
        <v>3.7185999999999997E-2</v>
      </c>
      <c r="O8" s="21">
        <v>3.7185999999999997E-2</v>
      </c>
      <c r="P8" s="20">
        <v>3.8830999999999997E-2</v>
      </c>
      <c r="Q8" s="21">
        <v>4.2514999999999997E-2</v>
      </c>
      <c r="R8" s="20">
        <v>4.6481999999999996E-2</v>
      </c>
      <c r="S8" s="22">
        <v>5.5778999999999995E-2</v>
      </c>
    </row>
    <row r="9" spans="2:21" x14ac:dyDescent="0.25">
      <c r="G9" s="19" t="s">
        <v>19</v>
      </c>
      <c r="H9" s="20">
        <v>3.8100000000000002E-2</v>
      </c>
      <c r="I9" s="20">
        <v>3.8100000000000002E-2</v>
      </c>
      <c r="J9" s="20">
        <v>3.8100000000000002E-2</v>
      </c>
      <c r="K9" s="21">
        <v>3.8100000000000002E-2</v>
      </c>
      <c r="L9" s="20">
        <v>3.8100000000000002E-2</v>
      </c>
      <c r="M9" s="21">
        <v>3.8100000000000002E-2</v>
      </c>
      <c r="N9" s="20">
        <v>3.8100000000000002E-2</v>
      </c>
      <c r="O9" s="21">
        <v>3.8100000000000002E-2</v>
      </c>
      <c r="P9" s="20">
        <v>3.8100000000000002E-2</v>
      </c>
      <c r="Q9" s="21">
        <v>3.8100000000000002E-2</v>
      </c>
      <c r="R9" s="20">
        <v>3.8100000000000002E-2</v>
      </c>
      <c r="S9" s="22">
        <v>3.8100000000000002E-2</v>
      </c>
    </row>
    <row r="10" spans="2:21" ht="15.75" thickBot="1" x14ac:dyDescent="0.3">
      <c r="G10" s="4" t="s">
        <v>7</v>
      </c>
      <c r="H10" s="14">
        <v>500</v>
      </c>
      <c r="I10" s="8">
        <v>500</v>
      </c>
      <c r="J10" s="14">
        <v>500</v>
      </c>
      <c r="K10" s="8">
        <v>500</v>
      </c>
      <c r="L10" s="14">
        <v>500</v>
      </c>
      <c r="M10" s="14">
        <v>500</v>
      </c>
      <c r="N10" s="14">
        <v>500</v>
      </c>
      <c r="O10" s="14">
        <v>500</v>
      </c>
      <c r="P10" s="14">
        <v>500</v>
      </c>
      <c r="Q10" s="14">
        <v>500</v>
      </c>
      <c r="R10" s="14">
        <v>500</v>
      </c>
      <c r="S10" s="14">
        <v>500</v>
      </c>
    </row>
    <row r="12" spans="2:21" ht="15.75" thickBot="1" x14ac:dyDescent="0.3"/>
    <row r="13" spans="2:21" ht="15.75" thickBot="1" x14ac:dyDescent="0.3">
      <c r="G13" s="27" t="s">
        <v>5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9"/>
    </row>
    <row r="14" spans="2:21" ht="15.75" thickBot="1" x14ac:dyDescent="0.3">
      <c r="G14" s="1" t="s">
        <v>6</v>
      </c>
      <c r="H14" s="11">
        <v>-2</v>
      </c>
      <c r="I14" s="5">
        <v>-1</v>
      </c>
      <c r="J14" s="11">
        <v>-0.5</v>
      </c>
      <c r="K14" s="25">
        <v>0.03</v>
      </c>
      <c r="L14" s="24">
        <v>0.17</v>
      </c>
      <c r="M14" s="25">
        <v>0.3</v>
      </c>
      <c r="N14" s="24">
        <v>0.45</v>
      </c>
      <c r="O14" s="25">
        <v>0.59</v>
      </c>
      <c r="P14" s="24">
        <v>0.73</v>
      </c>
      <c r="Q14" s="25">
        <v>0.86</v>
      </c>
      <c r="R14" s="24">
        <v>1</v>
      </c>
      <c r="S14" s="23">
        <v>2.33</v>
      </c>
    </row>
    <row r="15" spans="2:21" x14ac:dyDescent="0.25">
      <c r="G15" s="2" t="s">
        <v>14</v>
      </c>
      <c r="H15" s="12">
        <v>2.0116909999999999</v>
      </c>
      <c r="I15" s="6">
        <v>2.0801090000000002</v>
      </c>
      <c r="J15" s="12">
        <v>2.1143179999999999</v>
      </c>
      <c r="K15" s="6">
        <v>2.1505795400000003</v>
      </c>
      <c r="L15" s="12">
        <v>2.1601580600000001</v>
      </c>
      <c r="M15" s="6">
        <v>2.1690524</v>
      </c>
      <c r="N15" s="12">
        <v>2.1793151000000002</v>
      </c>
      <c r="O15" s="6">
        <v>2.18889362</v>
      </c>
      <c r="P15" s="12">
        <v>2.1984721400000002</v>
      </c>
      <c r="Q15" s="6">
        <v>2.2073664800000001</v>
      </c>
      <c r="R15" s="12">
        <v>2.2169449999999999</v>
      </c>
      <c r="S15" s="9">
        <v>2.3078041040000001</v>
      </c>
    </row>
    <row r="16" spans="2:21" x14ac:dyDescent="0.25">
      <c r="G16" s="3" t="s">
        <v>15</v>
      </c>
      <c r="H16" s="13">
        <v>1.8842000000000001E-2</v>
      </c>
      <c r="I16" s="7">
        <v>1.8592999999999998E-2</v>
      </c>
      <c r="J16" s="13">
        <v>1.8592999999999998E-2</v>
      </c>
      <c r="K16" s="7">
        <v>0</v>
      </c>
      <c r="L16" s="13">
        <v>0</v>
      </c>
      <c r="M16" s="7">
        <v>0</v>
      </c>
      <c r="N16" s="13">
        <v>0</v>
      </c>
      <c r="O16" s="7">
        <v>0</v>
      </c>
      <c r="P16" s="13">
        <v>1.645E-3</v>
      </c>
      <c r="Q16" s="7">
        <v>5.3290000000000004E-3</v>
      </c>
      <c r="R16" s="13">
        <v>9.2960000000000004E-3</v>
      </c>
      <c r="S16" s="10">
        <v>1.8592999999999998E-2</v>
      </c>
    </row>
    <row r="17" spans="7:19" x14ac:dyDescent="0.25">
      <c r="G17" s="3" t="s">
        <v>16</v>
      </c>
      <c r="H17" s="13">
        <v>0</v>
      </c>
      <c r="I17" s="7">
        <v>0</v>
      </c>
      <c r="J17" s="13">
        <v>0</v>
      </c>
      <c r="K17" s="7">
        <v>0</v>
      </c>
      <c r="L17" s="13">
        <v>0</v>
      </c>
      <c r="M17" s="7">
        <v>0</v>
      </c>
      <c r="N17" s="13">
        <v>0</v>
      </c>
      <c r="O17" s="7">
        <v>0</v>
      </c>
      <c r="P17" s="13">
        <v>0</v>
      </c>
      <c r="Q17" s="7">
        <v>0</v>
      </c>
      <c r="R17" s="13">
        <v>0</v>
      </c>
      <c r="S17" s="10">
        <v>0</v>
      </c>
    </row>
    <row r="18" spans="7:19" x14ac:dyDescent="0.25">
      <c r="G18" s="19" t="s">
        <v>17</v>
      </c>
      <c r="H18" s="20">
        <v>2.0116909999999999</v>
      </c>
      <c r="I18" s="21">
        <v>2.0801090000000002</v>
      </c>
      <c r="J18" s="20">
        <v>2.1143179999999999</v>
      </c>
      <c r="K18" s="21">
        <v>2.1505795400000003</v>
      </c>
      <c r="L18" s="20">
        <v>2.1601580600000001</v>
      </c>
      <c r="M18" s="21">
        <v>2.1690524</v>
      </c>
      <c r="N18" s="20">
        <v>2.1793151000000002</v>
      </c>
      <c r="O18" s="21">
        <v>2.18889362</v>
      </c>
      <c r="P18" s="20">
        <v>2.1984721400000002</v>
      </c>
      <c r="Q18" s="21">
        <v>2.2073664800000001</v>
      </c>
      <c r="R18" s="20">
        <v>2.2169449999999999</v>
      </c>
      <c r="S18" s="22">
        <v>2.3078041040000001</v>
      </c>
    </row>
    <row r="19" spans="7:19" x14ac:dyDescent="0.25">
      <c r="G19" s="19" t="s">
        <v>18</v>
      </c>
      <c r="H19" s="20">
        <v>5.6027999999999994E-2</v>
      </c>
      <c r="I19" s="21">
        <v>5.5778999999999995E-2</v>
      </c>
      <c r="J19" s="20">
        <v>5.5778999999999995E-2</v>
      </c>
      <c r="K19" s="21">
        <v>3.7185999999999997E-2</v>
      </c>
      <c r="L19" s="20">
        <v>3.7185999999999997E-2</v>
      </c>
      <c r="M19" s="21">
        <v>3.7185999999999997E-2</v>
      </c>
      <c r="N19" s="20">
        <v>3.7185999999999997E-2</v>
      </c>
      <c r="O19" s="21">
        <v>3.7185999999999997E-2</v>
      </c>
      <c r="P19" s="20">
        <v>3.8830999999999997E-2</v>
      </c>
      <c r="Q19" s="21">
        <v>4.2514999999999997E-2</v>
      </c>
      <c r="R19" s="20">
        <v>4.6481999999999996E-2</v>
      </c>
      <c r="S19" s="22">
        <v>5.5778999999999995E-2</v>
      </c>
    </row>
    <row r="20" spans="7:19" x14ac:dyDescent="0.25">
      <c r="G20" s="19" t="s">
        <v>19</v>
      </c>
      <c r="H20" s="20">
        <v>0</v>
      </c>
      <c r="I20" s="21">
        <v>0</v>
      </c>
      <c r="J20" s="20">
        <v>0</v>
      </c>
      <c r="K20" s="21">
        <v>0</v>
      </c>
      <c r="L20" s="20">
        <v>0</v>
      </c>
      <c r="M20" s="21">
        <v>0</v>
      </c>
      <c r="N20" s="20">
        <v>0</v>
      </c>
      <c r="O20" s="21">
        <v>0</v>
      </c>
      <c r="P20" s="20">
        <v>0</v>
      </c>
      <c r="Q20" s="21">
        <v>0</v>
      </c>
      <c r="R20" s="20">
        <v>0</v>
      </c>
      <c r="S20" s="22">
        <v>0</v>
      </c>
    </row>
    <row r="21" spans="7:19" ht="15.75" thickBot="1" x14ac:dyDescent="0.3">
      <c r="G21" s="4" t="s">
        <v>7</v>
      </c>
      <c r="H21" s="14">
        <v>500</v>
      </c>
      <c r="I21" s="8">
        <v>500</v>
      </c>
      <c r="J21" s="14">
        <v>500</v>
      </c>
      <c r="K21" s="8">
        <v>500</v>
      </c>
      <c r="L21" s="14">
        <v>500</v>
      </c>
      <c r="M21" s="14">
        <v>500</v>
      </c>
      <c r="N21" s="14">
        <v>500</v>
      </c>
      <c r="O21" s="14">
        <v>500</v>
      </c>
      <c r="P21" s="14">
        <v>500</v>
      </c>
      <c r="Q21" s="14">
        <v>500</v>
      </c>
      <c r="R21" s="14">
        <v>500</v>
      </c>
      <c r="S21" s="14">
        <v>500</v>
      </c>
    </row>
    <row r="23" spans="7:19" ht="15.75" thickBot="1" x14ac:dyDescent="0.3"/>
    <row r="24" spans="7:19" ht="15.75" thickBot="1" x14ac:dyDescent="0.3">
      <c r="G24" s="27" t="s">
        <v>31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</row>
    <row r="25" spans="7:19" ht="15.75" thickBot="1" x14ac:dyDescent="0.3">
      <c r="G25" s="1" t="s">
        <v>6</v>
      </c>
      <c r="H25" s="11">
        <v>-2</v>
      </c>
      <c r="I25" s="5">
        <v>-1</v>
      </c>
      <c r="J25" s="11">
        <v>-0.5</v>
      </c>
      <c r="K25" s="25">
        <v>0.03</v>
      </c>
      <c r="L25" s="24">
        <v>0.17</v>
      </c>
      <c r="M25" s="25">
        <v>0.3</v>
      </c>
      <c r="N25" s="24">
        <v>0.45</v>
      </c>
      <c r="O25" s="25">
        <v>0.59</v>
      </c>
      <c r="P25" s="24">
        <v>0.73</v>
      </c>
      <c r="Q25" s="25">
        <v>0.86</v>
      </c>
      <c r="R25" s="24">
        <v>1</v>
      </c>
      <c r="S25" s="23">
        <v>2.33</v>
      </c>
    </row>
    <row r="26" spans="7:19" x14ac:dyDescent="0.25">
      <c r="G26" s="2" t="s">
        <v>14</v>
      </c>
      <c r="H26" s="12">
        <v>2.0116909999999999</v>
      </c>
      <c r="I26" s="6">
        <v>2.0801090000000002</v>
      </c>
      <c r="J26" s="12">
        <v>2.1143179999999999</v>
      </c>
      <c r="K26" s="6">
        <v>2.1505795400000003</v>
      </c>
      <c r="L26" s="12">
        <v>2.1601580600000001</v>
      </c>
      <c r="M26" s="6">
        <v>2.1690524</v>
      </c>
      <c r="N26" s="12">
        <v>2.1793151000000002</v>
      </c>
      <c r="O26" s="6">
        <v>2.18889362</v>
      </c>
      <c r="P26" s="12">
        <v>2.1984721400000002</v>
      </c>
      <c r="Q26" s="6">
        <v>2.2073664800000001</v>
      </c>
      <c r="R26" s="12">
        <v>2.2169449999999999</v>
      </c>
      <c r="S26" s="9">
        <v>2.3078041040000001</v>
      </c>
    </row>
    <row r="27" spans="7:19" x14ac:dyDescent="0.25">
      <c r="G27" s="3" t="s">
        <v>15</v>
      </c>
      <c r="H27" s="13">
        <v>1.8842000000000001E-2</v>
      </c>
      <c r="I27" s="7">
        <v>1.8592999999999998E-2</v>
      </c>
      <c r="J27" s="13">
        <v>1.8592999999999998E-2</v>
      </c>
      <c r="K27" s="7">
        <v>0</v>
      </c>
      <c r="L27" s="13">
        <v>0</v>
      </c>
      <c r="M27" s="7">
        <v>0</v>
      </c>
      <c r="N27" s="13">
        <v>0</v>
      </c>
      <c r="O27" s="7">
        <v>0</v>
      </c>
      <c r="P27" s="13">
        <v>1.645E-3</v>
      </c>
      <c r="Q27" s="7">
        <v>5.3290000000000004E-3</v>
      </c>
      <c r="R27" s="13">
        <v>9.2960000000000004E-3</v>
      </c>
      <c r="S27" s="10">
        <v>1.8592999999999998E-2</v>
      </c>
    </row>
    <row r="28" spans="7:19" x14ac:dyDescent="0.25">
      <c r="G28" s="3" t="s">
        <v>16</v>
      </c>
      <c r="H28" s="13">
        <v>-3.8100000000000002E-2</v>
      </c>
      <c r="I28" s="7">
        <v>-3.8100000000000002E-2</v>
      </c>
      <c r="J28" s="13">
        <v>-3.8100000000000002E-2</v>
      </c>
      <c r="K28" s="7">
        <v>-3.8100000000000002E-2</v>
      </c>
      <c r="L28" s="13">
        <v>-3.8100000000000002E-2</v>
      </c>
      <c r="M28" s="7">
        <v>-3.8100000000000002E-2</v>
      </c>
      <c r="N28" s="13">
        <v>-3.8100000000000002E-2</v>
      </c>
      <c r="O28" s="7">
        <v>-3.8100000000000002E-2</v>
      </c>
      <c r="P28" s="13">
        <v>-3.8100000000000002E-2</v>
      </c>
      <c r="Q28" s="7">
        <v>-3.8100000000000002E-2</v>
      </c>
      <c r="R28" s="13">
        <v>-3.8100000000000002E-2</v>
      </c>
      <c r="S28" s="10">
        <v>-3.8100000000000002E-2</v>
      </c>
    </row>
    <row r="29" spans="7:19" x14ac:dyDescent="0.25">
      <c r="G29" s="19" t="s">
        <v>17</v>
      </c>
      <c r="H29" s="20">
        <v>2.0116909999999999</v>
      </c>
      <c r="I29" s="21">
        <v>2.0801090000000002</v>
      </c>
      <c r="J29" s="20">
        <v>2.1143179999999999</v>
      </c>
      <c r="K29" s="21">
        <v>2.1505795400000003</v>
      </c>
      <c r="L29" s="20">
        <v>2.1601580600000001</v>
      </c>
      <c r="M29" s="21">
        <v>2.1690524</v>
      </c>
      <c r="N29" s="20">
        <v>2.1793151000000002</v>
      </c>
      <c r="O29" s="21">
        <v>2.18889362</v>
      </c>
      <c r="P29" s="20">
        <v>2.1984721400000002</v>
      </c>
      <c r="Q29" s="21">
        <v>2.2073664800000001</v>
      </c>
      <c r="R29" s="20">
        <v>2.2169449999999999</v>
      </c>
      <c r="S29" s="22">
        <v>2.3078041040000001</v>
      </c>
    </row>
    <row r="30" spans="7:19" x14ac:dyDescent="0.25">
      <c r="G30" s="19" t="s">
        <v>18</v>
      </c>
      <c r="H30" s="20">
        <v>5.6027999999999994E-2</v>
      </c>
      <c r="I30" s="21">
        <v>5.5778999999999995E-2</v>
      </c>
      <c r="J30" s="20">
        <v>5.5778999999999995E-2</v>
      </c>
      <c r="K30" s="21">
        <v>3.7185999999999997E-2</v>
      </c>
      <c r="L30" s="20">
        <v>3.7185999999999997E-2</v>
      </c>
      <c r="M30" s="21">
        <v>3.7185999999999997E-2</v>
      </c>
      <c r="N30" s="20">
        <v>3.7185999999999997E-2</v>
      </c>
      <c r="O30" s="21">
        <v>3.7185999999999997E-2</v>
      </c>
      <c r="P30" s="20">
        <v>3.8830999999999997E-2</v>
      </c>
      <c r="Q30" s="21">
        <v>4.2514999999999997E-2</v>
      </c>
      <c r="R30" s="20">
        <v>4.6481999999999996E-2</v>
      </c>
      <c r="S30" s="22">
        <v>5.5778999999999995E-2</v>
      </c>
    </row>
    <row r="31" spans="7:19" x14ac:dyDescent="0.25">
      <c r="G31" s="19" t="s">
        <v>19</v>
      </c>
      <c r="H31" s="20">
        <v>-3.8100000000000002E-2</v>
      </c>
      <c r="I31" s="21">
        <v>-3.8100000000000002E-2</v>
      </c>
      <c r="J31" s="20">
        <v>-3.8100000000000002E-2</v>
      </c>
      <c r="K31" s="21">
        <v>-3.8100000000000002E-2</v>
      </c>
      <c r="L31" s="20">
        <v>-3.8100000000000002E-2</v>
      </c>
      <c r="M31" s="21">
        <v>-3.8100000000000002E-2</v>
      </c>
      <c r="N31" s="20">
        <v>-3.8100000000000002E-2</v>
      </c>
      <c r="O31" s="21">
        <v>-3.8100000000000002E-2</v>
      </c>
      <c r="P31" s="20">
        <v>-3.8100000000000002E-2</v>
      </c>
      <c r="Q31" s="21">
        <v>-3.8100000000000002E-2</v>
      </c>
      <c r="R31" s="20">
        <v>-3.8100000000000002E-2</v>
      </c>
      <c r="S31" s="22">
        <v>-3.8100000000000002E-2</v>
      </c>
    </row>
    <row r="32" spans="7:19" ht="15.75" thickBot="1" x14ac:dyDescent="0.3">
      <c r="G32" s="4" t="s">
        <v>7</v>
      </c>
      <c r="H32" s="14">
        <v>500</v>
      </c>
      <c r="I32" s="8">
        <v>500</v>
      </c>
      <c r="J32" s="14">
        <v>500</v>
      </c>
      <c r="K32" s="8">
        <v>500</v>
      </c>
      <c r="L32" s="14">
        <v>500</v>
      </c>
      <c r="M32" s="14">
        <v>500</v>
      </c>
      <c r="N32" s="14">
        <v>500</v>
      </c>
      <c r="O32" s="14">
        <v>500</v>
      </c>
      <c r="P32" s="14">
        <v>500</v>
      </c>
      <c r="Q32" s="14">
        <v>500</v>
      </c>
      <c r="R32" s="14">
        <v>500</v>
      </c>
      <c r="S32" s="14">
        <v>500</v>
      </c>
    </row>
    <row r="36" spans="5:19" x14ac:dyDescent="0.25">
      <c r="G36" s="26" t="s">
        <v>29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</row>
    <row r="37" spans="5:19" x14ac:dyDescent="0.25">
      <c r="E37" t="s">
        <v>20</v>
      </c>
      <c r="F37">
        <v>2.1485270000000001</v>
      </c>
      <c r="G37" s="15" t="s">
        <v>21</v>
      </c>
      <c r="H37">
        <v>-2</v>
      </c>
      <c r="I37">
        <v>-1</v>
      </c>
      <c r="J37">
        <v>-0.5</v>
      </c>
      <c r="K37">
        <v>0.03</v>
      </c>
      <c r="L37">
        <v>0.17</v>
      </c>
      <c r="M37">
        <v>0.3</v>
      </c>
      <c r="N37">
        <v>0.45</v>
      </c>
      <c r="O37">
        <v>0.59</v>
      </c>
      <c r="P37">
        <v>0.73</v>
      </c>
      <c r="Q37">
        <v>0.86</v>
      </c>
      <c r="R37">
        <v>1</v>
      </c>
      <c r="S37">
        <v>2.3279999999999998</v>
      </c>
    </row>
    <row r="38" spans="5:19" x14ac:dyDescent="0.25">
      <c r="E38" t="s">
        <v>23</v>
      </c>
      <c r="F38">
        <v>3.7185999999999997E-2</v>
      </c>
      <c r="G38" s="15" t="s">
        <v>22</v>
      </c>
      <c r="H38">
        <f>$F$37+(H37*$C$3)</f>
        <v>2.0116909999999999</v>
      </c>
      <c r="I38">
        <f>$F$37+(I37*$C$3)</f>
        <v>2.0801090000000002</v>
      </c>
      <c r="J38">
        <f>$F$37+(J37*$C$3)</f>
        <v>2.1143179999999999</v>
      </c>
      <c r="K38">
        <f t="shared" ref="K38:S38" si="0">$F$37+(K37*$C$3)</f>
        <v>2.1505795400000003</v>
      </c>
      <c r="L38">
        <f t="shared" si="0"/>
        <v>2.1601580600000001</v>
      </c>
      <c r="M38">
        <f t="shared" si="0"/>
        <v>2.1690524</v>
      </c>
      <c r="N38">
        <f t="shared" si="0"/>
        <v>2.1793151000000002</v>
      </c>
      <c r="O38">
        <f t="shared" si="0"/>
        <v>2.18889362</v>
      </c>
      <c r="P38">
        <f t="shared" si="0"/>
        <v>2.1984721400000002</v>
      </c>
      <c r="Q38">
        <f>$F$37+(Q37*$C$3)</f>
        <v>2.2073664800000001</v>
      </c>
      <c r="R38">
        <f t="shared" si="0"/>
        <v>2.2169449999999999</v>
      </c>
      <c r="S38">
        <f t="shared" si="0"/>
        <v>2.3078041040000001</v>
      </c>
    </row>
    <row r="39" spans="5:19" x14ac:dyDescent="0.25">
      <c r="G39" s="15" t="s">
        <v>25</v>
      </c>
      <c r="H39">
        <v>1.8842000000000001E-2</v>
      </c>
      <c r="I39">
        <v>1.8592999999999998E-2</v>
      </c>
      <c r="J39">
        <v>1.8592999999999998E-2</v>
      </c>
      <c r="K39">
        <v>0</v>
      </c>
      <c r="L39">
        <v>0</v>
      </c>
      <c r="M39">
        <v>0</v>
      </c>
      <c r="N39">
        <v>0</v>
      </c>
      <c r="O39">
        <v>0</v>
      </c>
      <c r="P39">
        <v>1.645E-3</v>
      </c>
      <c r="Q39">
        <v>5.3290000000000004E-3</v>
      </c>
      <c r="R39">
        <v>9.2960000000000004E-3</v>
      </c>
      <c r="S39">
        <v>1.8592999999999998E-2</v>
      </c>
    </row>
    <row r="40" spans="5:19" x14ac:dyDescent="0.25">
      <c r="G40" s="15" t="s">
        <v>24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5:19" x14ac:dyDescent="0.25">
      <c r="G41" s="15" t="s">
        <v>26</v>
      </c>
      <c r="H41">
        <f>H38</f>
        <v>2.0116909999999999</v>
      </c>
      <c r="I41">
        <f t="shared" ref="I41:S41" si="1">I38</f>
        <v>2.0801090000000002</v>
      </c>
      <c r="J41">
        <f t="shared" si="1"/>
        <v>2.1143179999999999</v>
      </c>
      <c r="K41">
        <f t="shared" si="1"/>
        <v>2.1505795400000003</v>
      </c>
      <c r="L41">
        <f t="shared" si="1"/>
        <v>2.1601580600000001</v>
      </c>
      <c r="M41">
        <f t="shared" si="1"/>
        <v>2.1690524</v>
      </c>
      <c r="N41">
        <f t="shared" si="1"/>
        <v>2.1793151000000002</v>
      </c>
      <c r="O41">
        <f t="shared" si="1"/>
        <v>2.18889362</v>
      </c>
      <c r="P41">
        <f t="shared" si="1"/>
        <v>2.1984721400000002</v>
      </c>
      <c r="Q41">
        <f t="shared" si="1"/>
        <v>2.2073664800000001</v>
      </c>
      <c r="R41">
        <f t="shared" si="1"/>
        <v>2.2169449999999999</v>
      </c>
      <c r="S41">
        <f t="shared" si="1"/>
        <v>2.3078041040000001</v>
      </c>
    </row>
    <row r="42" spans="5:19" x14ac:dyDescent="0.25">
      <c r="G42" s="15" t="s">
        <v>27</v>
      </c>
      <c r="H42">
        <f>H39+$F$38</f>
        <v>5.6027999999999994E-2</v>
      </c>
      <c r="I42">
        <f>I39+$F$38</f>
        <v>5.5778999999999995E-2</v>
      </c>
      <c r="J42">
        <f t="shared" ref="J42:S42" si="2">J39+$F$38</f>
        <v>5.5778999999999995E-2</v>
      </c>
      <c r="K42">
        <f t="shared" si="2"/>
        <v>3.7185999999999997E-2</v>
      </c>
      <c r="L42">
        <f t="shared" si="2"/>
        <v>3.7185999999999997E-2</v>
      </c>
      <c r="M42">
        <f t="shared" si="2"/>
        <v>3.7185999999999997E-2</v>
      </c>
      <c r="N42">
        <f t="shared" si="2"/>
        <v>3.7185999999999997E-2</v>
      </c>
      <c r="O42">
        <f t="shared" si="2"/>
        <v>3.7185999999999997E-2</v>
      </c>
      <c r="P42">
        <f t="shared" si="2"/>
        <v>3.8830999999999997E-2</v>
      </c>
      <c r="Q42">
        <f t="shared" si="2"/>
        <v>4.2514999999999997E-2</v>
      </c>
      <c r="R42">
        <f>R39+$F$38</f>
        <v>4.6481999999999996E-2</v>
      </c>
      <c r="S42">
        <f t="shared" si="2"/>
        <v>5.5778999999999995E-2</v>
      </c>
    </row>
    <row r="43" spans="5:19" x14ac:dyDescent="0.25">
      <c r="G43" s="15" t="s">
        <v>28</v>
      </c>
      <c r="H43">
        <f>H40</f>
        <v>0</v>
      </c>
      <c r="I43">
        <f t="shared" ref="I43:S43" si="3">I40</f>
        <v>0</v>
      </c>
      <c r="J43">
        <f t="shared" si="3"/>
        <v>0</v>
      </c>
      <c r="K43">
        <f t="shared" si="3"/>
        <v>0</v>
      </c>
      <c r="L43">
        <f t="shared" si="3"/>
        <v>0</v>
      </c>
      <c r="M43">
        <f t="shared" si="3"/>
        <v>0</v>
      </c>
      <c r="N43">
        <f t="shared" si="3"/>
        <v>0</v>
      </c>
      <c r="O43">
        <f t="shared" si="3"/>
        <v>0</v>
      </c>
      <c r="P43">
        <f t="shared" si="3"/>
        <v>0</v>
      </c>
      <c r="Q43">
        <f t="shared" si="3"/>
        <v>0</v>
      </c>
      <c r="R43">
        <f t="shared" si="3"/>
        <v>0</v>
      </c>
      <c r="S43">
        <f t="shared" si="3"/>
        <v>0</v>
      </c>
    </row>
    <row r="46" spans="5:19" x14ac:dyDescent="0.25">
      <c r="G46" s="26" t="s">
        <v>30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</row>
    <row r="47" spans="5:19" x14ac:dyDescent="0.25">
      <c r="G47" s="15" t="s">
        <v>21</v>
      </c>
      <c r="H47">
        <v>-2</v>
      </c>
      <c r="I47">
        <v>-1</v>
      </c>
      <c r="J47">
        <v>-0.5</v>
      </c>
      <c r="K47">
        <v>0.03</v>
      </c>
      <c r="L47">
        <v>0.17</v>
      </c>
      <c r="M47">
        <v>0.3</v>
      </c>
      <c r="N47">
        <v>0.45</v>
      </c>
      <c r="O47">
        <v>0.59</v>
      </c>
      <c r="P47">
        <v>0.73</v>
      </c>
      <c r="Q47">
        <v>0.86</v>
      </c>
      <c r="R47">
        <v>1</v>
      </c>
      <c r="S47">
        <v>2.3279999999999998</v>
      </c>
    </row>
    <row r="48" spans="5:19" x14ac:dyDescent="0.25">
      <c r="G48" s="15" t="s">
        <v>22</v>
      </c>
      <c r="H48">
        <f>$F$37+(H47*$C$3)</f>
        <v>2.0116909999999999</v>
      </c>
      <c r="I48">
        <f>$F$37+(I47*$C$3)</f>
        <v>2.0801090000000002</v>
      </c>
      <c r="J48">
        <f>$F$37+(J47*$C$3)</f>
        <v>2.1143179999999999</v>
      </c>
      <c r="K48">
        <f t="shared" ref="K48" si="4">$F$37+(K47*$C$3)</f>
        <v>2.1505795400000003</v>
      </c>
      <c r="L48">
        <f t="shared" ref="L48" si="5">$F$37+(L47*$C$3)</f>
        <v>2.1601580600000001</v>
      </c>
      <c r="M48">
        <f t="shared" ref="M48" si="6">$F$37+(M47*$C$3)</f>
        <v>2.1690524</v>
      </c>
      <c r="N48">
        <f t="shared" ref="N48" si="7">$F$37+(N47*$C$3)</f>
        <v>2.1793151000000002</v>
      </c>
      <c r="O48">
        <f t="shared" ref="O48" si="8">$F$37+(O47*$C$3)</f>
        <v>2.18889362</v>
      </c>
      <c r="P48">
        <f t="shared" ref="P48" si="9">$F$37+(P47*$C$3)</f>
        <v>2.1984721400000002</v>
      </c>
      <c r="Q48">
        <f>$F$37+(Q47*$C$3)</f>
        <v>2.2073664800000001</v>
      </c>
      <c r="R48">
        <f t="shared" ref="R48" si="10">$F$37+(R47*$C$3)</f>
        <v>2.2169449999999999</v>
      </c>
      <c r="S48">
        <f t="shared" ref="S48" si="11">$F$37+(S47*$C$3)</f>
        <v>2.3078041040000001</v>
      </c>
    </row>
    <row r="49" spans="7:19" x14ac:dyDescent="0.25">
      <c r="G49" s="15" t="s">
        <v>25</v>
      </c>
      <c r="H49">
        <v>1.8842000000000001E-2</v>
      </c>
      <c r="I49">
        <v>1.8592999999999998E-2</v>
      </c>
      <c r="J49">
        <v>1.8592999999999998E-2</v>
      </c>
      <c r="K49">
        <v>0</v>
      </c>
      <c r="L49">
        <v>0</v>
      </c>
      <c r="M49">
        <v>0</v>
      </c>
      <c r="N49">
        <v>0</v>
      </c>
      <c r="O49">
        <v>0</v>
      </c>
      <c r="P49">
        <v>1.645E-3</v>
      </c>
      <c r="Q49">
        <v>5.3290000000000004E-3</v>
      </c>
      <c r="R49">
        <v>9.2960000000000004E-3</v>
      </c>
      <c r="S49">
        <v>1.8592999999999998E-2</v>
      </c>
    </row>
    <row r="50" spans="7:19" x14ac:dyDescent="0.25">
      <c r="G50" s="15" t="s">
        <v>24</v>
      </c>
      <c r="H50">
        <f>($C$4/4)</f>
        <v>3.8100000000000002E-2</v>
      </c>
      <c r="I50">
        <f t="shared" ref="I50:S50" si="12">($C$4/4)</f>
        <v>3.8100000000000002E-2</v>
      </c>
      <c r="J50">
        <f t="shared" si="12"/>
        <v>3.8100000000000002E-2</v>
      </c>
      <c r="K50">
        <f t="shared" si="12"/>
        <v>3.8100000000000002E-2</v>
      </c>
      <c r="L50">
        <f t="shared" si="12"/>
        <v>3.8100000000000002E-2</v>
      </c>
      <c r="M50">
        <f t="shared" si="12"/>
        <v>3.8100000000000002E-2</v>
      </c>
      <c r="N50">
        <f t="shared" si="12"/>
        <v>3.8100000000000002E-2</v>
      </c>
      <c r="O50">
        <f t="shared" si="12"/>
        <v>3.8100000000000002E-2</v>
      </c>
      <c r="P50">
        <f t="shared" si="12"/>
        <v>3.8100000000000002E-2</v>
      </c>
      <c r="Q50">
        <f t="shared" si="12"/>
        <v>3.8100000000000002E-2</v>
      </c>
      <c r="R50">
        <f t="shared" si="12"/>
        <v>3.8100000000000002E-2</v>
      </c>
      <c r="S50">
        <f t="shared" si="12"/>
        <v>3.8100000000000002E-2</v>
      </c>
    </row>
    <row r="51" spans="7:19" x14ac:dyDescent="0.25">
      <c r="G51" s="15" t="s">
        <v>26</v>
      </c>
      <c r="H51">
        <f>H48</f>
        <v>2.0116909999999999</v>
      </c>
      <c r="I51">
        <f t="shared" ref="I51:S51" si="13">I48</f>
        <v>2.0801090000000002</v>
      </c>
      <c r="J51">
        <f t="shared" si="13"/>
        <v>2.1143179999999999</v>
      </c>
      <c r="K51">
        <f t="shared" si="13"/>
        <v>2.1505795400000003</v>
      </c>
      <c r="L51">
        <f t="shared" si="13"/>
        <v>2.1601580600000001</v>
      </c>
      <c r="M51">
        <f t="shared" si="13"/>
        <v>2.1690524</v>
      </c>
      <c r="N51">
        <f t="shared" si="13"/>
        <v>2.1793151000000002</v>
      </c>
      <c r="O51">
        <f t="shared" si="13"/>
        <v>2.18889362</v>
      </c>
      <c r="P51">
        <f t="shared" si="13"/>
        <v>2.1984721400000002</v>
      </c>
      <c r="Q51">
        <f t="shared" si="13"/>
        <v>2.2073664800000001</v>
      </c>
      <c r="R51">
        <f t="shared" si="13"/>
        <v>2.2169449999999999</v>
      </c>
      <c r="S51">
        <f t="shared" si="13"/>
        <v>2.3078041040000001</v>
      </c>
    </row>
    <row r="52" spans="7:19" x14ac:dyDescent="0.25">
      <c r="G52" s="15" t="s">
        <v>27</v>
      </c>
      <c r="H52">
        <f>H49+$F$38</f>
        <v>5.6027999999999994E-2</v>
      </c>
      <c r="I52">
        <f>I49+$F$38</f>
        <v>5.5778999999999995E-2</v>
      </c>
      <c r="J52">
        <f t="shared" ref="J52:Q52" si="14">J49+$F$38</f>
        <v>5.5778999999999995E-2</v>
      </c>
      <c r="K52">
        <f t="shared" si="14"/>
        <v>3.7185999999999997E-2</v>
      </c>
      <c r="L52">
        <f t="shared" si="14"/>
        <v>3.7185999999999997E-2</v>
      </c>
      <c r="M52">
        <f t="shared" si="14"/>
        <v>3.7185999999999997E-2</v>
      </c>
      <c r="N52">
        <f t="shared" si="14"/>
        <v>3.7185999999999997E-2</v>
      </c>
      <c r="O52">
        <f t="shared" si="14"/>
        <v>3.7185999999999997E-2</v>
      </c>
      <c r="P52">
        <f t="shared" si="14"/>
        <v>3.8830999999999997E-2</v>
      </c>
      <c r="Q52">
        <f t="shared" si="14"/>
        <v>4.2514999999999997E-2</v>
      </c>
      <c r="R52">
        <f>R49+$F$38</f>
        <v>4.6481999999999996E-2</v>
      </c>
      <c r="S52">
        <f t="shared" ref="S52" si="15">S49+$F$38</f>
        <v>5.5778999999999995E-2</v>
      </c>
    </row>
    <row r="53" spans="7:19" x14ac:dyDescent="0.25">
      <c r="G53" s="15" t="s">
        <v>28</v>
      </c>
      <c r="H53">
        <f>H50</f>
        <v>3.8100000000000002E-2</v>
      </c>
      <c r="I53">
        <f t="shared" ref="I53:S53" si="16">I50</f>
        <v>3.8100000000000002E-2</v>
      </c>
      <c r="J53">
        <f t="shared" si="16"/>
        <v>3.8100000000000002E-2</v>
      </c>
      <c r="K53">
        <f t="shared" si="16"/>
        <v>3.8100000000000002E-2</v>
      </c>
      <c r="L53">
        <f t="shared" si="16"/>
        <v>3.8100000000000002E-2</v>
      </c>
      <c r="M53">
        <f t="shared" si="16"/>
        <v>3.8100000000000002E-2</v>
      </c>
      <c r="N53">
        <f t="shared" si="16"/>
        <v>3.8100000000000002E-2</v>
      </c>
      <c r="O53">
        <f t="shared" si="16"/>
        <v>3.8100000000000002E-2</v>
      </c>
      <c r="P53">
        <f t="shared" si="16"/>
        <v>3.8100000000000002E-2</v>
      </c>
      <c r="Q53">
        <f t="shared" si="16"/>
        <v>3.8100000000000002E-2</v>
      </c>
      <c r="R53">
        <f t="shared" si="16"/>
        <v>3.8100000000000002E-2</v>
      </c>
      <c r="S53">
        <f t="shared" si="16"/>
        <v>3.8100000000000002E-2</v>
      </c>
    </row>
    <row r="56" spans="7:19" x14ac:dyDescent="0.25">
      <c r="G56" s="26" t="s">
        <v>33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</row>
    <row r="57" spans="7:19" x14ac:dyDescent="0.25">
      <c r="G57" s="15" t="s">
        <v>21</v>
      </c>
      <c r="H57">
        <v>-2</v>
      </c>
      <c r="I57">
        <v>-1</v>
      </c>
      <c r="J57">
        <v>-0.5</v>
      </c>
      <c r="K57">
        <v>0.03</v>
      </c>
      <c r="L57">
        <v>0.17</v>
      </c>
      <c r="M57">
        <v>0.3</v>
      </c>
      <c r="N57">
        <v>0.45</v>
      </c>
      <c r="O57">
        <v>0.59</v>
      </c>
      <c r="P57">
        <v>0.73</v>
      </c>
      <c r="Q57">
        <v>0.86</v>
      </c>
      <c r="R57">
        <v>1</v>
      </c>
      <c r="S57">
        <v>2.3279999999999998</v>
      </c>
    </row>
    <row r="58" spans="7:19" x14ac:dyDescent="0.25">
      <c r="G58" s="15" t="s">
        <v>22</v>
      </c>
      <c r="H58">
        <f>$F$37+(H57*$C$3)</f>
        <v>2.0116909999999999</v>
      </c>
      <c r="I58">
        <f>$F$37+(I57*$C$3)</f>
        <v>2.0801090000000002</v>
      </c>
      <c r="J58">
        <f>$F$37+(J57*$C$3)</f>
        <v>2.1143179999999999</v>
      </c>
      <c r="K58">
        <f t="shared" ref="K58" si="17">$F$37+(K57*$C$3)</f>
        <v>2.1505795400000003</v>
      </c>
      <c r="L58">
        <f t="shared" ref="L58" si="18">$F$37+(L57*$C$3)</f>
        <v>2.1601580600000001</v>
      </c>
      <c r="M58">
        <f t="shared" ref="M58" si="19">$F$37+(M57*$C$3)</f>
        <v>2.1690524</v>
      </c>
      <c r="N58">
        <f t="shared" ref="N58" si="20">$F$37+(N57*$C$3)</f>
        <v>2.1793151000000002</v>
      </c>
      <c r="O58">
        <f t="shared" ref="O58" si="21">$F$37+(O57*$C$3)</f>
        <v>2.18889362</v>
      </c>
      <c r="P58">
        <f t="shared" ref="P58" si="22">$F$37+(P57*$C$3)</f>
        <v>2.1984721400000002</v>
      </c>
      <c r="Q58">
        <f>$F$37+(Q57*$C$3)</f>
        <v>2.2073664800000001</v>
      </c>
      <c r="R58">
        <f t="shared" ref="R58" si="23">$F$37+(R57*$C$3)</f>
        <v>2.2169449999999999</v>
      </c>
      <c r="S58">
        <f t="shared" ref="S58" si="24">$F$37+(S57*$C$3)</f>
        <v>2.3078041040000001</v>
      </c>
    </row>
    <row r="59" spans="7:19" x14ac:dyDescent="0.25">
      <c r="G59" s="15" t="s">
        <v>25</v>
      </c>
      <c r="H59">
        <v>1.8842000000000001E-2</v>
      </c>
      <c r="I59">
        <v>1.8592999999999998E-2</v>
      </c>
      <c r="J59">
        <v>1.8592999999999998E-2</v>
      </c>
      <c r="K59">
        <v>0</v>
      </c>
      <c r="L59">
        <v>0</v>
      </c>
      <c r="M59">
        <v>0</v>
      </c>
      <c r="N59">
        <v>0</v>
      </c>
      <c r="O59">
        <v>0</v>
      </c>
      <c r="P59">
        <v>1.645E-3</v>
      </c>
      <c r="Q59">
        <v>5.3290000000000004E-3</v>
      </c>
      <c r="R59">
        <v>9.2960000000000004E-3</v>
      </c>
      <c r="S59">
        <v>1.8592999999999998E-2</v>
      </c>
    </row>
    <row r="60" spans="7:19" x14ac:dyDescent="0.25">
      <c r="G60" s="15" t="s">
        <v>24</v>
      </c>
      <c r="H60">
        <f>-($C$4/4)</f>
        <v>-3.8100000000000002E-2</v>
      </c>
      <c r="I60">
        <f t="shared" ref="I60:S60" si="25">-($C$4/4)</f>
        <v>-3.8100000000000002E-2</v>
      </c>
      <c r="J60">
        <f t="shared" si="25"/>
        <v>-3.8100000000000002E-2</v>
      </c>
      <c r="K60">
        <f t="shared" si="25"/>
        <v>-3.8100000000000002E-2</v>
      </c>
      <c r="L60">
        <f t="shared" si="25"/>
        <v>-3.8100000000000002E-2</v>
      </c>
      <c r="M60">
        <f t="shared" si="25"/>
        <v>-3.8100000000000002E-2</v>
      </c>
      <c r="N60">
        <f t="shared" si="25"/>
        <v>-3.8100000000000002E-2</v>
      </c>
      <c r="O60">
        <f t="shared" si="25"/>
        <v>-3.8100000000000002E-2</v>
      </c>
      <c r="P60">
        <f t="shared" si="25"/>
        <v>-3.8100000000000002E-2</v>
      </c>
      <c r="Q60">
        <f t="shared" si="25"/>
        <v>-3.8100000000000002E-2</v>
      </c>
      <c r="R60">
        <f t="shared" si="25"/>
        <v>-3.8100000000000002E-2</v>
      </c>
      <c r="S60">
        <f t="shared" si="25"/>
        <v>-3.8100000000000002E-2</v>
      </c>
    </row>
    <row r="61" spans="7:19" x14ac:dyDescent="0.25">
      <c r="G61" s="15" t="s">
        <v>26</v>
      </c>
      <c r="H61">
        <f>H58</f>
        <v>2.0116909999999999</v>
      </c>
      <c r="I61">
        <f t="shared" ref="I61:S61" si="26">I58</f>
        <v>2.0801090000000002</v>
      </c>
      <c r="J61">
        <f t="shared" si="26"/>
        <v>2.1143179999999999</v>
      </c>
      <c r="K61">
        <f t="shared" si="26"/>
        <v>2.1505795400000003</v>
      </c>
      <c r="L61">
        <f t="shared" si="26"/>
        <v>2.1601580600000001</v>
      </c>
      <c r="M61">
        <f t="shared" si="26"/>
        <v>2.1690524</v>
      </c>
      <c r="N61">
        <f t="shared" si="26"/>
        <v>2.1793151000000002</v>
      </c>
      <c r="O61">
        <f t="shared" si="26"/>
        <v>2.18889362</v>
      </c>
      <c r="P61">
        <f t="shared" si="26"/>
        <v>2.1984721400000002</v>
      </c>
      <c r="Q61">
        <f t="shared" si="26"/>
        <v>2.2073664800000001</v>
      </c>
      <c r="R61">
        <f t="shared" si="26"/>
        <v>2.2169449999999999</v>
      </c>
      <c r="S61">
        <f t="shared" si="26"/>
        <v>2.3078041040000001</v>
      </c>
    </row>
    <row r="62" spans="7:19" x14ac:dyDescent="0.25">
      <c r="G62" s="15" t="s">
        <v>27</v>
      </c>
      <c r="H62">
        <f>H59+$F$38</f>
        <v>5.6027999999999994E-2</v>
      </c>
      <c r="I62">
        <f>I59+$F$38</f>
        <v>5.5778999999999995E-2</v>
      </c>
      <c r="J62">
        <f t="shared" ref="J62:Q62" si="27">J59+$F$38</f>
        <v>5.5778999999999995E-2</v>
      </c>
      <c r="K62">
        <f t="shared" si="27"/>
        <v>3.7185999999999997E-2</v>
      </c>
      <c r="L62">
        <f t="shared" si="27"/>
        <v>3.7185999999999997E-2</v>
      </c>
      <c r="M62">
        <f t="shared" si="27"/>
        <v>3.7185999999999997E-2</v>
      </c>
      <c r="N62">
        <f t="shared" si="27"/>
        <v>3.7185999999999997E-2</v>
      </c>
      <c r="O62">
        <f t="shared" si="27"/>
        <v>3.7185999999999997E-2</v>
      </c>
      <c r="P62">
        <f t="shared" si="27"/>
        <v>3.8830999999999997E-2</v>
      </c>
      <c r="Q62">
        <f t="shared" si="27"/>
        <v>4.2514999999999997E-2</v>
      </c>
      <c r="R62">
        <f>R59+$F$38</f>
        <v>4.6481999999999996E-2</v>
      </c>
      <c r="S62">
        <f t="shared" ref="S62" si="28">S59+$F$38</f>
        <v>5.5778999999999995E-2</v>
      </c>
    </row>
    <row r="63" spans="7:19" x14ac:dyDescent="0.25">
      <c r="G63" s="15" t="s">
        <v>28</v>
      </c>
      <c r="H63">
        <f>H60</f>
        <v>-3.8100000000000002E-2</v>
      </c>
      <c r="I63">
        <f t="shared" ref="I63:S63" si="29">I60</f>
        <v>-3.8100000000000002E-2</v>
      </c>
      <c r="J63">
        <f t="shared" si="29"/>
        <v>-3.8100000000000002E-2</v>
      </c>
      <c r="K63">
        <f t="shared" si="29"/>
        <v>-3.8100000000000002E-2</v>
      </c>
      <c r="L63">
        <f t="shared" si="29"/>
        <v>-3.8100000000000002E-2</v>
      </c>
      <c r="M63">
        <f t="shared" si="29"/>
        <v>-3.8100000000000002E-2</v>
      </c>
      <c r="N63">
        <f t="shared" si="29"/>
        <v>-3.8100000000000002E-2</v>
      </c>
      <c r="O63">
        <f t="shared" si="29"/>
        <v>-3.8100000000000002E-2</v>
      </c>
      <c r="P63">
        <f t="shared" si="29"/>
        <v>-3.8100000000000002E-2</v>
      </c>
      <c r="Q63">
        <f t="shared" si="29"/>
        <v>-3.8100000000000002E-2</v>
      </c>
      <c r="R63">
        <f t="shared" si="29"/>
        <v>-3.8100000000000002E-2</v>
      </c>
      <c r="S63">
        <f t="shared" si="29"/>
        <v>-3.8100000000000002E-2</v>
      </c>
    </row>
  </sheetData>
  <mergeCells count="7">
    <mergeCell ref="G36:S36"/>
    <mergeCell ref="G46:S46"/>
    <mergeCell ref="G56:S56"/>
    <mergeCell ref="B2:D2"/>
    <mergeCell ref="G2:S2"/>
    <mergeCell ref="G13:S13"/>
    <mergeCell ref="G24:S24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Boller</dc:creator>
  <cp:lastModifiedBy>Matt Boller</cp:lastModifiedBy>
  <dcterms:created xsi:type="dcterms:W3CDTF">2015-06-05T18:17:20Z</dcterms:created>
  <dcterms:modified xsi:type="dcterms:W3CDTF">2026-01-29T16:25:26Z</dcterms:modified>
</cp:coreProperties>
</file>